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I_Lab_1\Documents\EAGLE\projects\NeuroStimDuino_v3\CAMOutputs\Assembly_v3_0\"/>
    </mc:Choice>
  </mc:AlternateContent>
  <xr:revisionPtr revIDLastSave="0" documentId="13_ncr:1_{FAE10BB6-29FA-4572-AC28-4B5B74A153D0}" xr6:coauthVersionLast="47" xr6:coauthVersionMax="47" xr10:uidLastSave="{00000000-0000-0000-0000-000000000000}"/>
  <bookViews>
    <workbookView xWindow="-108" yWindow="-108" windowWidth="23256" windowHeight="12456" xr2:uid="{5CE0AA2E-47FE-47D0-AF20-BBE7F7D24054}"/>
  </bookViews>
  <sheets>
    <sheet name="NeuroStimDuino_v3" sheetId="2" r:id="rId1"/>
  </sheets>
  <definedNames>
    <definedName name="ExternalData_1" localSheetId="0" hidden="1">NeuroStimDuino_v3!$A$1:$H$63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4" i="2" l="1"/>
  <c r="H6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034606-DE74-4286-A998-6551DBCF29B0}" keepAlive="1" name="Query - NeuroStimDuino_v3" description="Connection to the 'NeuroStimDuino_v3' query in the workbook." type="5" refreshedVersion="8" background="1" saveData="1">
    <dbPr connection="Provider=Microsoft.Mashup.OleDb.1;Data Source=$Workbook$;Location=NeuroStimDuino_v3;Extended Properties=&quot;&quot;" command="SELECT * FROM [NeuroStimDuino_v3]"/>
  </connection>
</connections>
</file>

<file path=xl/sharedStrings.xml><?xml version="1.0" encoding="utf-8"?>
<sst xmlns="http://schemas.openxmlformats.org/spreadsheetml/2006/main" count="440" uniqueCount="238">
  <si>
    <t>Qty</t>
  </si>
  <si>
    <t>Value</t>
  </si>
  <si>
    <t>Device</t>
  </si>
  <si>
    <t>Package</t>
  </si>
  <si>
    <t>Parts</t>
  </si>
  <si>
    <t>Description</t>
  </si>
  <si>
    <t>Column1</t>
  </si>
  <si>
    <t>_1</t>
  </si>
  <si>
    <t/>
  </si>
  <si>
    <t>DC_JACK_081BB-2103300</t>
  </si>
  <si>
    <t>081BB-2103300</t>
  </si>
  <si>
    <t>J3, J4</t>
  </si>
  <si>
    <t>CHIPLED_1206</t>
  </si>
  <si>
    <t>LED</t>
  </si>
  <si>
    <t>1X02</t>
  </si>
  <si>
    <t>JP2</t>
  </si>
  <si>
    <t>0.1uF</t>
  </si>
  <si>
    <t>C0805</t>
  </si>
  <si>
    <t>CAPACITOR, American symbol</t>
  </si>
  <si>
    <t>C1206</t>
  </si>
  <si>
    <t>0.5E</t>
  </si>
  <si>
    <t>R-US_R1206</t>
  </si>
  <si>
    <t>R1206</t>
  </si>
  <si>
    <t>R10</t>
  </si>
  <si>
    <t>RESISTOR, American symbol</t>
  </si>
  <si>
    <t>0453.062MR</t>
  </si>
  <si>
    <t>FUSC6127X294N</t>
  </si>
  <si>
    <t>F2, F3</t>
  </si>
  <si>
    <t>Surface Mount Fuses 125VAC 0.062A 5.5ohms 453 NANO2</t>
  </si>
  <si>
    <t>100E</t>
  </si>
  <si>
    <t>R_0805</t>
  </si>
  <si>
    <t>R0805</t>
  </si>
  <si>
    <t>R31</t>
  </si>
  <si>
    <t>RESISTOR</t>
  </si>
  <si>
    <t>100E, 1/2W</t>
  </si>
  <si>
    <t>R15, R22</t>
  </si>
  <si>
    <t>100K</t>
  </si>
  <si>
    <t>R32</t>
  </si>
  <si>
    <t>C0805K</t>
  </si>
  <si>
    <t>10E, 3/4W</t>
  </si>
  <si>
    <t>R16, R23</t>
  </si>
  <si>
    <t>10K</t>
  </si>
  <si>
    <t>R1</t>
  </si>
  <si>
    <t>10K, 1/2W</t>
  </si>
  <si>
    <t>R12, R13, R19, R20</t>
  </si>
  <si>
    <t>10nF</t>
  </si>
  <si>
    <t>C6, C28</t>
  </si>
  <si>
    <t>10uF</t>
  </si>
  <si>
    <t>C27</t>
  </si>
  <si>
    <t>1uF</t>
  </si>
  <si>
    <t>C13, C15, C26, C31, C32, C35, C36, C37, C38</t>
  </si>
  <si>
    <t>22-27-2051-05</t>
  </si>
  <si>
    <t>6410-05</t>
  </si>
  <si>
    <t>J1</t>
  </si>
  <si>
    <t>CONNECTOR</t>
  </si>
  <si>
    <t>220E</t>
  </si>
  <si>
    <t>R34</t>
  </si>
  <si>
    <t>3.3K</t>
  </si>
  <si>
    <t>R17</t>
  </si>
  <si>
    <t>30062115</t>
  </si>
  <si>
    <t>S2</t>
  </si>
  <si>
    <t>Tactile Switches TACTILE</t>
  </si>
  <si>
    <t>330E</t>
  </si>
  <si>
    <t>R0603</t>
  </si>
  <si>
    <t>R26, R27, R28, R29, R30</t>
  </si>
  <si>
    <t>35.7K</t>
  </si>
  <si>
    <t>R11, R14, R18, R21</t>
  </si>
  <si>
    <t>4605X-101-221LF</t>
  </si>
  <si>
    <t>BO_4605X</t>
  </si>
  <si>
    <t>R8</t>
  </si>
  <si>
    <t>4605X-101-332LF</t>
  </si>
  <si>
    <t>R9</t>
  </si>
  <si>
    <t>470E</t>
  </si>
  <si>
    <t>R2</t>
  </si>
  <si>
    <t>470K</t>
  </si>
  <si>
    <t>R33</t>
  </si>
  <si>
    <t>47uF</t>
  </si>
  <si>
    <t>C29</t>
  </si>
  <si>
    <t>56nF</t>
  </si>
  <si>
    <t>C0603C563J4RACTU</t>
  </si>
  <si>
    <t>CAPC17595_87N_KEM</t>
  </si>
  <si>
    <t>C11</t>
  </si>
  <si>
    <t>ACSL-6410-00TE</t>
  </si>
  <si>
    <t>SOIC127P599X152-16N</t>
  </si>
  <si>
    <t>IC11</t>
  </si>
  <si>
    <t>Broadcom ACSL-6410-00TE DC Input Logic Gate Output Quad Optocoupler, Surface Mount, 16-Pin SOIC-N</t>
  </si>
  <si>
    <t>CAY16-181J4LF</t>
  </si>
  <si>
    <t>CAY16181J4LF</t>
  </si>
  <si>
    <t>RN2</t>
  </si>
  <si>
    <t>BOURNS - CAY16-181J4LF - Fixed Network Resistor, 180 ohm, Isolated, 4 Elements, 1206 [3216 Metric], 8 Pins, Convex</t>
  </si>
  <si>
    <t>CAY16-332J4LF</t>
  </si>
  <si>
    <t>CAY16-J4</t>
  </si>
  <si>
    <t>RN1</t>
  </si>
  <si>
    <t>Bourns CAY16 Series 3.3k +/-5% Isolated SMT Resistor Array, 4 Resistors, 0.25W total 1206 (3216M) package Convex</t>
  </si>
  <si>
    <t>CON-SOCJ-2155</t>
  </si>
  <si>
    <t>CONSOCJ2155</t>
  </si>
  <si>
    <t>J7</t>
  </si>
  <si>
    <t>DC Power Connectors Power Jack/Connector 2.1mm x 5.5mm</t>
  </si>
  <si>
    <t>CPC2125N</t>
  </si>
  <si>
    <t>SOP254P610X218-8N</t>
  </si>
  <si>
    <t>K1</t>
  </si>
  <si>
    <t>Solid State Relays - PCB Mount Dual SP-NC SS OptoMOS Relay</t>
  </si>
  <si>
    <t>DSPIC33FJ64GS606-I_PT</t>
  </si>
  <si>
    <t>QFP50P1200X1200X120-64N</t>
  </si>
  <si>
    <t>IC15</t>
  </si>
  <si>
    <t>Microchip DSPIC33FJ64GS606-I/PT, 16bit PIC Microcontroller, 40MHz, 64 kB Flash, 64-Pin TQFP</t>
  </si>
  <si>
    <t>F971C475MAAHT3</t>
  </si>
  <si>
    <t>CAPPM3216X180N</t>
  </si>
  <si>
    <t>C2</t>
  </si>
  <si>
    <t>Tantalum Capacitors - Solid SMD 16V 4.7uF 20% 1206 ESR=4Ohm AEC-Q200</t>
  </si>
  <si>
    <t>1X08</t>
  </si>
  <si>
    <t>JP4, JP5, JP6</t>
  </si>
  <si>
    <t>Female Gray Connector strip for Arduino 3V3 bases - 8x1 F V h 8,5 p2,54mm</t>
  </si>
  <si>
    <t>1X10</t>
  </si>
  <si>
    <t>JP3</t>
  </si>
  <si>
    <t>Female Gray Connector strip for Arduino 3V3 bases - 10x1 F V h 8,5 p2,54mm</t>
  </si>
  <si>
    <t>GF1J-E3DO-214BA-L</t>
  </si>
  <si>
    <t>DO-214BA-L</t>
  </si>
  <si>
    <t>D6, D7, D8, D9</t>
  </si>
  <si>
    <t>HCPL0531</t>
  </si>
  <si>
    <t>SOIC127P594X363-8N</t>
  </si>
  <si>
    <t>IC3, IC4</t>
  </si>
  <si>
    <t>Optocoupler 2-Ch Transistor 1MBit/s SO8</t>
  </si>
  <si>
    <t>Isolated DC/DC Converters DC-DC, 2W, unreg., dual output, SIP, 3kV</t>
  </si>
  <si>
    <t>SOIC127P600X175-8N</t>
  </si>
  <si>
    <t>IC5, IC8</t>
  </si>
  <si>
    <t>Texas Instruments INA149AID, Differential Amplifier 8-Pin SOIC</t>
  </si>
  <si>
    <t>LCA717S_DC</t>
  </si>
  <si>
    <t>SOP254P952X470-6N</t>
  </si>
  <si>
    <t>K2</t>
  </si>
  <si>
    <t>Solid State Relays - PCB Mount 1-Form 30V 2000 mA Solid State Relay</t>
  </si>
  <si>
    <t>LSM115JE3_TR13</t>
  </si>
  <si>
    <t>DIOM5436X330N</t>
  </si>
  <si>
    <t>D4, D5</t>
  </si>
  <si>
    <t>Schottky Diodes &amp; Rectifiers Schottky</t>
  </si>
  <si>
    <t>LTC4412HS6TRMPBF</t>
  </si>
  <si>
    <t>TSOT-23_S6_ADI</t>
  </si>
  <si>
    <t>U6</t>
  </si>
  <si>
    <t>MAX6018BEUR16+T</t>
  </si>
  <si>
    <t>21-0051H_MXM</t>
  </si>
  <si>
    <t>U9</t>
  </si>
  <si>
    <t>MCP4341-103E_ST</t>
  </si>
  <si>
    <t>SOP65P640X120-20N</t>
  </si>
  <si>
    <t>IC9</t>
  </si>
  <si>
    <t>7 bit Digital Potentiometers, 10k, SPI</t>
  </si>
  <si>
    <t>SOP65P640X120-14N</t>
  </si>
  <si>
    <t>IC12</t>
  </si>
  <si>
    <t>Operational Amplifiers - Op Amps Quad, 3MHz Op Amp, E Temp</t>
  </si>
  <si>
    <t>0805</t>
  </si>
  <si>
    <t>L1</t>
  </si>
  <si>
    <t>BLM21</t>
  </si>
  <si>
    <t>MIC3975-5.0YMM-TR</t>
  </si>
  <si>
    <t>SOP65P490X109-8N</t>
  </si>
  <si>
    <t>IC14</t>
  </si>
  <si>
    <t>ic</t>
  </si>
  <si>
    <t>MJE340</t>
  </si>
  <si>
    <t>TO229P290X760X1320-3P</t>
  </si>
  <si>
    <t>Q2, Q4</t>
  </si>
  <si>
    <t>MJE340, NPN Bipolar Transistor,  0.5 A 300 V HFE:30 V Power, 3-Pin SOT-32</t>
  </si>
  <si>
    <t>MJE350</t>
  </si>
  <si>
    <t>TO229P300X760X1364-3P</t>
  </si>
  <si>
    <t>Q1, Q3</t>
  </si>
  <si>
    <t>Source:  Datasheet</t>
  </si>
  <si>
    <t>MMBT3906</t>
  </si>
  <si>
    <t>SOT95P240X120-3N</t>
  </si>
  <si>
    <t>Q8</t>
  </si>
  <si>
    <t>Transistor GP BJT PNP 40V 0.2A SOT23 Fairchild MMBT3906 PNP Bipolar Transistor, 0.2 A, 40 V, 3-Pin SOT-23</t>
  </si>
  <si>
    <t>MSS1P3L-M3/89A</t>
  </si>
  <si>
    <t>1653_MSS1P3L-M3/89A</t>
  </si>
  <si>
    <t>MICROSMP</t>
  </si>
  <si>
    <t>D3</t>
  </si>
  <si>
    <t>Surface Mount Schottky Barrier Rectifiers - Case microSMP</t>
  </si>
  <si>
    <t>OPA140AID</t>
  </si>
  <si>
    <t>IC7, IC10</t>
  </si>
  <si>
    <t>11MHz, Single Supply, Low Noise, Precision, Rail-to-Rail Output, JFET Amplifier</t>
  </si>
  <si>
    <t>TO-236_SOT23_NEX-L</t>
  </si>
  <si>
    <t>U7</t>
  </si>
  <si>
    <t>SS1P3L</t>
  </si>
  <si>
    <t>0025_SS1P3L-M3/84A</t>
  </si>
  <si>
    <t>DO220AAL</t>
  </si>
  <si>
    <t>D2</t>
  </si>
  <si>
    <t>1A 30V Schottky Barrier Rectifiers -SS1P3L-M3/84A</t>
  </si>
  <si>
    <t>TACTILE_SWITCH_SMD</t>
  </si>
  <si>
    <t>S1</t>
  </si>
  <si>
    <t>TEA_1-0505</t>
  </si>
  <si>
    <t>TEA10505</t>
  </si>
  <si>
    <t>PS3</t>
  </si>
  <si>
    <t>1 Watt DC/DC converter, industrial, +/-10% input, unregulated, highly cost efficient, encapsulated, SIP-4</t>
  </si>
  <si>
    <t>TPS73633DBVR</t>
  </si>
  <si>
    <t>SOT95P280X145-5N</t>
  </si>
  <si>
    <t>IC13</t>
  </si>
  <si>
    <t>Single Output LDO, 400mA, Adj.(1.2 to 5.5V), Cap free, Low Noise, Reverse Current Protection</t>
  </si>
  <si>
    <t>TSC2012IST</t>
  </si>
  <si>
    <t>SOP65P490X110-8N</t>
  </si>
  <si>
    <t>IC6</t>
  </si>
  <si>
    <t>SP Amp Current Sense Amp Single 5.5V 8-Pin Mini-SO T/R</t>
  </si>
  <si>
    <t>C0805C105K3RACTU</t>
  </si>
  <si>
    <t>4.7uF</t>
  </si>
  <si>
    <t>C3, C4, C5, C7, C8, C9, C12, C14, C19, C21, C25</t>
  </si>
  <si>
    <t>C2012X7S1E106K125AE</t>
  </si>
  <si>
    <t>CGA5H4X7R2J103K115AA</t>
  </si>
  <si>
    <t>Wurth Electronik</t>
  </si>
  <si>
    <t>CGA4J2X7R2A104K125AA</t>
  </si>
  <si>
    <t>C1, C39, C40</t>
  </si>
  <si>
    <t>MCP6479-E_ST or TS274IPT</t>
  </si>
  <si>
    <t xml:space="preserve">AD629ARZ-R7 or INA149AID </t>
  </si>
  <si>
    <t>Custom Connector</t>
  </si>
  <si>
    <t>https://robu.in/product/8-pin-female-11mm-tall-stackable-header-connector-for-arduino-5pcs/</t>
  </si>
  <si>
    <t>Stackable Header - 8 Pin</t>
  </si>
  <si>
    <t xml:space="preserve">Stackable Header - 10 Pin </t>
  </si>
  <si>
    <t>https://robu.in/product/10-pin-female-11mm-tall-stackable-header-connector/</t>
  </si>
  <si>
    <t xml:space="preserve">Stackable Header - 2 Pin </t>
  </si>
  <si>
    <t>BLM21PG300SN1D</t>
  </si>
  <si>
    <t>APTR3216SGC</t>
  </si>
  <si>
    <t>LED5, LED6, LED7, LED8</t>
  </si>
  <si>
    <t xml:space="preserve"> IH0524D or IH0524SH</t>
  </si>
  <si>
    <t>IH0524D or IH0524SH</t>
  </si>
  <si>
    <t xml:space="preserve">CRGH1206F10K </t>
  </si>
  <si>
    <t>RCWE1206R500FKEA</t>
  </si>
  <si>
    <t>RT1206FRE0735K7L</t>
  </si>
  <si>
    <t>RCS120610K0JNEA</t>
  </si>
  <si>
    <t xml:space="preserve">MCA1206MD1000BP100 </t>
  </si>
  <si>
    <t>CRCW120610R0FKEBHP</t>
  </si>
  <si>
    <t xml:space="preserve">ERJ-8ENF3301V </t>
  </si>
  <si>
    <t xml:space="preserve">ERJ-8ENF4700V </t>
  </si>
  <si>
    <t>ERJ-UP3J331V</t>
  </si>
  <si>
    <t>ERJ-UP8F1003V</t>
  </si>
  <si>
    <t>ERJ-UP8F4703V</t>
  </si>
  <si>
    <t xml:space="preserve">ERJ-8ENF2200V </t>
  </si>
  <si>
    <t>PTS525SM15SMTR2 LFS</t>
  </si>
  <si>
    <t>3006.2115 or 3006.2101</t>
  </si>
  <si>
    <t>PMV48XP,215</t>
  </si>
  <si>
    <t>R3, R4</t>
  </si>
  <si>
    <t>R36, R37</t>
  </si>
  <si>
    <t>C1206C104K3RACTU</t>
  </si>
  <si>
    <t>RC0805FR-0710KL</t>
  </si>
  <si>
    <t>Female Gray Connecter strip 2x1 F V h 8,5 p2,54mm</t>
  </si>
  <si>
    <t>PS4, PS6 or PS1, PS7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</si>
</sst>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1" fontId="1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0" borderId="0" xfId="1"/>
    <xf numFmtId="0" fontId="2" fillId="4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AC6DDA-A7BA-4EA1-BACA-17EC2512A042}" autoFormatId="16" applyNumberFormats="0" applyBorderFormats="0" applyFontFormats="0" applyPatternFormats="0" applyAlignmentFormats="0" applyWidthHeightFormats="0">
  <queryTableRefresh nextId="9">
    <queryTableFields count="8">
      <queryTableField id="1" name="Qty" tableColumnId="1"/>
      <queryTableField id="2" name="Value" tableColumnId="2"/>
      <queryTableField id="3" name="Device" tableColumnId="3"/>
      <queryTableField id="4" name="Package" tableColumnId="4"/>
      <queryTableField id="5" name="Parts" tableColumnId="5"/>
      <queryTableField id="6" name="Description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3A742-F529-4F36-9A84-D5F4CEE7630E}" name="NeuroStimDuino_v3" displayName="NeuroStimDuino_v3" ref="A1:H64" tableType="queryTable" totalsRowCount="1">
  <autoFilter ref="A1:H63" xr:uid="{1163A742-F529-4F36-9A84-D5F4CEE7630E}"/>
  <sortState xmlns:xlrd2="http://schemas.microsoft.com/office/spreadsheetml/2017/richdata2" ref="A2:H63">
    <sortCondition ref="E1:E63"/>
  </sortState>
  <tableColumns count="8">
    <tableColumn id="1" xr3:uid="{CA705968-CFA0-4BA0-8D21-9723CB02B03D}" uniqueName="1" name="Qty" totalsRowFunction="sum" queryTableFieldId="1"/>
    <tableColumn id="2" xr3:uid="{A9695CD4-8583-4982-BACB-62B1A418596F}" uniqueName="2" name="Value" queryTableFieldId="2" dataDxfId="6"/>
    <tableColumn id="3" xr3:uid="{4E79B0C3-33A2-4DAD-BD70-7880CDDC5165}" uniqueName="3" name="Device" queryTableFieldId="3" dataDxfId="5"/>
    <tableColumn id="4" xr3:uid="{978D0EBB-D16A-4E9F-82C6-BD70A1E467F8}" uniqueName="4" name="Package" queryTableFieldId="4" dataDxfId="4"/>
    <tableColumn id="5" xr3:uid="{DE345E17-205D-47E0-97F6-1A8B7553417B}" uniqueName="5" name="Parts" queryTableFieldId="5" dataDxfId="3"/>
    <tableColumn id="6" xr3:uid="{2E2115DF-4D8F-49A4-A5F5-8720150D810D}" uniqueName="6" name="Description" queryTableFieldId="6" dataDxfId="2"/>
    <tableColumn id="7" xr3:uid="{A8F89C7A-272B-4BB6-98FD-E02BF29878C0}" uniqueName="7" name="Column1" queryTableFieldId="7" dataDxfId="1"/>
    <tableColumn id="8" xr3:uid="{1B55FD33-8611-4C8B-BE8A-164A58B869FD}" uniqueName="8" name="_1" totalsRowFunction="coun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obu.in/product/10-pin-female-11mm-tall-stackable-header-connec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B417-AA12-4E02-97CB-FF64BFC2A5E2}">
  <dimension ref="A1:H64"/>
  <sheetViews>
    <sheetView tabSelected="1" zoomScale="85" zoomScaleNormal="85" workbookViewId="0">
      <selection activeCell="C35" sqref="C35"/>
    </sheetView>
  </sheetViews>
  <sheetFormatPr defaultRowHeight="14.4" x14ac:dyDescent="0.3"/>
  <cols>
    <col min="1" max="1" width="6.109375" bestFit="1" customWidth="1"/>
    <col min="2" max="2" width="30.44140625" bestFit="1" customWidth="1"/>
    <col min="3" max="3" width="35.5546875" bestFit="1" customWidth="1"/>
    <col min="4" max="4" width="24.88671875" bestFit="1" customWidth="1"/>
    <col min="5" max="5" width="50.6640625" customWidth="1"/>
    <col min="6" max="6" width="80.88671875" bestFit="1" customWidth="1"/>
    <col min="7" max="7" width="10.664062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3</v>
      </c>
      <c r="B2" t="s">
        <v>16</v>
      </c>
      <c r="C2" s="4" t="s">
        <v>202</v>
      </c>
      <c r="D2" t="s">
        <v>38</v>
      </c>
      <c r="E2" t="s">
        <v>203</v>
      </c>
      <c r="F2" t="s">
        <v>18</v>
      </c>
      <c r="G2" t="s">
        <v>8</v>
      </c>
      <c r="H2" t="s">
        <v>8</v>
      </c>
    </row>
    <row r="3" spans="1:8" x14ac:dyDescent="0.3">
      <c r="A3">
        <v>1</v>
      </c>
      <c r="B3" t="s">
        <v>78</v>
      </c>
      <c r="C3" t="s">
        <v>79</v>
      </c>
      <c r="D3" t="s">
        <v>80</v>
      </c>
      <c r="E3" t="s">
        <v>81</v>
      </c>
      <c r="F3" t="s">
        <v>8</v>
      </c>
      <c r="G3" t="s">
        <v>8</v>
      </c>
      <c r="H3" t="s">
        <v>8</v>
      </c>
    </row>
    <row r="4" spans="1:8" x14ac:dyDescent="0.3">
      <c r="A4">
        <v>9</v>
      </c>
      <c r="B4" t="s">
        <v>49</v>
      </c>
      <c r="C4" s="1" t="s">
        <v>196</v>
      </c>
      <c r="D4" t="s">
        <v>17</v>
      </c>
      <c r="E4" t="s">
        <v>50</v>
      </c>
      <c r="F4" t="s">
        <v>18</v>
      </c>
      <c r="G4" t="s">
        <v>8</v>
      </c>
      <c r="H4" t="s">
        <v>8</v>
      </c>
    </row>
    <row r="5" spans="1:8" x14ac:dyDescent="0.3">
      <c r="A5">
        <v>1</v>
      </c>
      <c r="B5" t="s">
        <v>197</v>
      </c>
      <c r="C5" t="s">
        <v>106</v>
      </c>
      <c r="D5" t="s">
        <v>107</v>
      </c>
      <c r="E5" t="s">
        <v>108</v>
      </c>
      <c r="F5" t="s">
        <v>109</v>
      </c>
      <c r="G5" t="s">
        <v>8</v>
      </c>
      <c r="H5" t="s">
        <v>8</v>
      </c>
    </row>
    <row r="6" spans="1:8" x14ac:dyDescent="0.3">
      <c r="A6">
        <v>1</v>
      </c>
      <c r="B6" t="s">
        <v>47</v>
      </c>
      <c r="C6" s="1" t="s">
        <v>199</v>
      </c>
      <c r="D6" t="s">
        <v>17</v>
      </c>
      <c r="E6" t="s">
        <v>48</v>
      </c>
      <c r="F6" t="s">
        <v>18</v>
      </c>
      <c r="G6" t="s">
        <v>8</v>
      </c>
      <c r="H6" t="s">
        <v>8</v>
      </c>
    </row>
    <row r="7" spans="1:8" x14ac:dyDescent="0.3">
      <c r="A7">
        <v>1</v>
      </c>
      <c r="B7" t="s">
        <v>76</v>
      </c>
      <c r="C7" s="3">
        <v>865230445005</v>
      </c>
      <c r="D7" t="s">
        <v>201</v>
      </c>
      <c r="E7" t="s">
        <v>77</v>
      </c>
      <c r="F7" t="s">
        <v>76</v>
      </c>
      <c r="G7" t="s">
        <v>8</v>
      </c>
      <c r="H7" t="s">
        <v>8</v>
      </c>
    </row>
    <row r="8" spans="1:8" x14ac:dyDescent="0.3">
      <c r="A8">
        <v>11</v>
      </c>
      <c r="B8" t="s">
        <v>16</v>
      </c>
      <c r="C8" t="s">
        <v>234</v>
      </c>
      <c r="D8" t="s">
        <v>19</v>
      </c>
      <c r="E8" t="s">
        <v>198</v>
      </c>
      <c r="F8" t="s">
        <v>18</v>
      </c>
      <c r="G8" t="s">
        <v>8</v>
      </c>
      <c r="H8" t="s">
        <v>8</v>
      </c>
    </row>
    <row r="9" spans="1:8" x14ac:dyDescent="0.3">
      <c r="A9">
        <v>2</v>
      </c>
      <c r="B9" t="s">
        <v>45</v>
      </c>
      <c r="C9" s="2" t="s">
        <v>200</v>
      </c>
      <c r="D9" t="s">
        <v>19</v>
      </c>
      <c r="E9" t="s">
        <v>46</v>
      </c>
      <c r="F9" t="s">
        <v>18</v>
      </c>
      <c r="G9" t="s">
        <v>8</v>
      </c>
      <c r="H9" t="s">
        <v>8</v>
      </c>
    </row>
    <row r="10" spans="1:8" x14ac:dyDescent="0.3">
      <c r="A10">
        <v>1</v>
      </c>
      <c r="B10" t="s">
        <v>177</v>
      </c>
      <c r="C10" t="s">
        <v>178</v>
      </c>
      <c r="D10" t="s">
        <v>179</v>
      </c>
      <c r="E10" t="s">
        <v>180</v>
      </c>
      <c r="F10" t="s">
        <v>181</v>
      </c>
      <c r="G10" t="s">
        <v>8</v>
      </c>
      <c r="H10" t="s">
        <v>8</v>
      </c>
    </row>
    <row r="11" spans="1:8" x14ac:dyDescent="0.3">
      <c r="A11">
        <v>1</v>
      </c>
      <c r="B11" t="s">
        <v>167</v>
      </c>
      <c r="C11" t="s">
        <v>168</v>
      </c>
      <c r="D11" t="s">
        <v>169</v>
      </c>
      <c r="E11" t="s">
        <v>170</v>
      </c>
      <c r="F11" t="s">
        <v>171</v>
      </c>
      <c r="G11" t="s">
        <v>8</v>
      </c>
      <c r="H11" t="s">
        <v>8</v>
      </c>
    </row>
    <row r="12" spans="1:8" x14ac:dyDescent="0.3">
      <c r="A12">
        <v>2</v>
      </c>
      <c r="B12" t="s">
        <v>131</v>
      </c>
      <c r="C12" t="s">
        <v>131</v>
      </c>
      <c r="D12" t="s">
        <v>132</v>
      </c>
      <c r="E12" t="s">
        <v>133</v>
      </c>
      <c r="F12" t="s">
        <v>134</v>
      </c>
      <c r="G12" t="s">
        <v>8</v>
      </c>
      <c r="H12" t="s">
        <v>8</v>
      </c>
    </row>
    <row r="13" spans="1:8" x14ac:dyDescent="0.3">
      <c r="A13">
        <v>4</v>
      </c>
      <c r="B13" t="s">
        <v>116</v>
      </c>
      <c r="C13" t="s">
        <v>116</v>
      </c>
      <c r="D13" t="s">
        <v>117</v>
      </c>
      <c r="E13" t="s">
        <v>118</v>
      </c>
      <c r="F13" t="s">
        <v>8</v>
      </c>
      <c r="G13" t="s">
        <v>8</v>
      </c>
      <c r="H13" t="s">
        <v>8</v>
      </c>
    </row>
    <row r="14" spans="1:8" x14ac:dyDescent="0.3">
      <c r="A14">
        <v>2</v>
      </c>
      <c r="B14" t="s">
        <v>25</v>
      </c>
      <c r="C14" t="s">
        <v>25</v>
      </c>
      <c r="D14" t="s">
        <v>26</v>
      </c>
      <c r="E14" t="s">
        <v>27</v>
      </c>
      <c r="F14" t="s">
        <v>28</v>
      </c>
      <c r="G14" t="s">
        <v>8</v>
      </c>
      <c r="H14" t="s">
        <v>8</v>
      </c>
    </row>
    <row r="15" spans="1:8" x14ac:dyDescent="0.3">
      <c r="A15">
        <v>1</v>
      </c>
      <c r="B15" t="s">
        <v>82</v>
      </c>
      <c r="C15" t="s">
        <v>82</v>
      </c>
      <c r="D15" t="s">
        <v>83</v>
      </c>
      <c r="E15" t="s">
        <v>84</v>
      </c>
      <c r="F15" t="s">
        <v>85</v>
      </c>
      <c r="G15" t="s">
        <v>8</v>
      </c>
      <c r="H15" t="s">
        <v>8</v>
      </c>
    </row>
    <row r="16" spans="1:8" x14ac:dyDescent="0.3">
      <c r="A16">
        <v>1</v>
      </c>
      <c r="B16" t="s">
        <v>204</v>
      </c>
      <c r="C16" t="s">
        <v>204</v>
      </c>
      <c r="D16" t="s">
        <v>145</v>
      </c>
      <c r="E16" t="s">
        <v>146</v>
      </c>
      <c r="F16" t="s">
        <v>147</v>
      </c>
      <c r="G16" t="s">
        <v>8</v>
      </c>
      <c r="H16" t="s">
        <v>8</v>
      </c>
    </row>
    <row r="17" spans="1:8" x14ac:dyDescent="0.3">
      <c r="A17">
        <v>1</v>
      </c>
      <c r="B17" t="s">
        <v>188</v>
      </c>
      <c r="C17" t="s">
        <v>188</v>
      </c>
      <c r="D17" t="s">
        <v>189</v>
      </c>
      <c r="E17" t="s">
        <v>190</v>
      </c>
      <c r="F17" t="s">
        <v>191</v>
      </c>
      <c r="G17" t="s">
        <v>8</v>
      </c>
      <c r="H17" t="s">
        <v>8</v>
      </c>
    </row>
    <row r="18" spans="1:8" x14ac:dyDescent="0.3">
      <c r="A18">
        <v>1</v>
      </c>
      <c r="B18" t="s">
        <v>151</v>
      </c>
      <c r="C18" t="s">
        <v>151</v>
      </c>
      <c r="D18" t="s">
        <v>152</v>
      </c>
      <c r="E18" t="s">
        <v>153</v>
      </c>
      <c r="F18" t="s">
        <v>154</v>
      </c>
      <c r="G18" t="s">
        <v>8</v>
      </c>
      <c r="H18" t="s">
        <v>8</v>
      </c>
    </row>
    <row r="19" spans="1:8" x14ac:dyDescent="0.3">
      <c r="A19">
        <v>1</v>
      </c>
      <c r="B19" t="s">
        <v>102</v>
      </c>
      <c r="C19" t="s">
        <v>102</v>
      </c>
      <c r="D19" t="s">
        <v>103</v>
      </c>
      <c r="E19" t="s">
        <v>104</v>
      </c>
      <c r="F19" t="s">
        <v>105</v>
      </c>
      <c r="G19" t="s">
        <v>8</v>
      </c>
      <c r="H19" t="s">
        <v>8</v>
      </c>
    </row>
    <row r="20" spans="1:8" x14ac:dyDescent="0.3">
      <c r="A20">
        <v>2</v>
      </c>
      <c r="B20" t="s">
        <v>119</v>
      </c>
      <c r="C20" t="s">
        <v>119</v>
      </c>
      <c r="D20" t="s">
        <v>120</v>
      </c>
      <c r="E20" t="s">
        <v>121</v>
      </c>
      <c r="F20" t="s">
        <v>122</v>
      </c>
      <c r="G20" t="s">
        <v>8</v>
      </c>
      <c r="H20" t="s">
        <v>8</v>
      </c>
    </row>
    <row r="21" spans="1:8" x14ac:dyDescent="0.3">
      <c r="A21">
        <v>2</v>
      </c>
      <c r="B21" s="5" t="s">
        <v>205</v>
      </c>
      <c r="C21" s="5" t="s">
        <v>205</v>
      </c>
      <c r="D21" t="s">
        <v>124</v>
      </c>
      <c r="E21" t="s">
        <v>125</v>
      </c>
      <c r="F21" t="s">
        <v>126</v>
      </c>
      <c r="G21" t="s">
        <v>8</v>
      </c>
      <c r="H21" t="s">
        <v>8</v>
      </c>
    </row>
    <row r="22" spans="1:8" x14ac:dyDescent="0.3">
      <c r="A22">
        <v>1</v>
      </c>
      <c r="B22" t="s">
        <v>192</v>
      </c>
      <c r="C22" t="s">
        <v>192</v>
      </c>
      <c r="D22" t="s">
        <v>193</v>
      </c>
      <c r="E22" t="s">
        <v>194</v>
      </c>
      <c r="F22" t="s">
        <v>195</v>
      </c>
      <c r="G22" t="s">
        <v>8</v>
      </c>
      <c r="H22" t="s">
        <v>8</v>
      </c>
    </row>
    <row r="23" spans="1:8" x14ac:dyDescent="0.3">
      <c r="A23">
        <v>2</v>
      </c>
      <c r="B23" t="s">
        <v>172</v>
      </c>
      <c r="C23" t="s">
        <v>172</v>
      </c>
      <c r="D23" t="s">
        <v>124</v>
      </c>
      <c r="E23" t="s">
        <v>173</v>
      </c>
      <c r="F23" t="s">
        <v>174</v>
      </c>
      <c r="G23" t="s">
        <v>8</v>
      </c>
      <c r="H23" t="s">
        <v>8</v>
      </c>
    </row>
    <row r="24" spans="1:8" x14ac:dyDescent="0.3">
      <c r="A24">
        <v>1</v>
      </c>
      <c r="B24" t="s">
        <v>141</v>
      </c>
      <c r="C24" t="s">
        <v>141</v>
      </c>
      <c r="D24" t="s">
        <v>142</v>
      </c>
      <c r="E24" t="s">
        <v>143</v>
      </c>
      <c r="F24" t="s">
        <v>144</v>
      </c>
      <c r="G24" t="s">
        <v>8</v>
      </c>
      <c r="H24" t="s">
        <v>8</v>
      </c>
    </row>
    <row r="25" spans="1:8" x14ac:dyDescent="0.3">
      <c r="A25">
        <v>1</v>
      </c>
      <c r="B25" t="s">
        <v>51</v>
      </c>
      <c r="C25" t="s">
        <v>51</v>
      </c>
      <c r="D25" t="s">
        <v>52</v>
      </c>
      <c r="E25" t="s">
        <v>53</v>
      </c>
      <c r="F25" t="s">
        <v>54</v>
      </c>
      <c r="G25" t="s">
        <v>8</v>
      </c>
      <c r="H25" t="s">
        <v>8</v>
      </c>
    </row>
    <row r="26" spans="1:8" x14ac:dyDescent="0.3">
      <c r="A26">
        <v>2</v>
      </c>
      <c r="B26" t="s">
        <v>206</v>
      </c>
      <c r="C26" t="s">
        <v>9</v>
      </c>
      <c r="D26" t="s">
        <v>10</v>
      </c>
      <c r="E26" t="s">
        <v>11</v>
      </c>
      <c r="F26" t="s">
        <v>8</v>
      </c>
      <c r="G26" t="s">
        <v>8</v>
      </c>
      <c r="H26" t="s">
        <v>8</v>
      </c>
    </row>
    <row r="27" spans="1:8" x14ac:dyDescent="0.3">
      <c r="A27">
        <v>1</v>
      </c>
      <c r="B27" t="s">
        <v>94</v>
      </c>
      <c r="C27" t="s">
        <v>94</v>
      </c>
      <c r="D27" t="s">
        <v>95</v>
      </c>
      <c r="E27" t="s">
        <v>96</v>
      </c>
      <c r="F27" t="s">
        <v>97</v>
      </c>
      <c r="G27" t="s">
        <v>8</v>
      </c>
      <c r="H27" t="s">
        <v>8</v>
      </c>
    </row>
    <row r="28" spans="1:8" s="13" customFormat="1" x14ac:dyDescent="0.3">
      <c r="A28" s="13">
        <v>1</v>
      </c>
      <c r="B28" s="13" t="s">
        <v>211</v>
      </c>
      <c r="D28" s="13" t="s">
        <v>14</v>
      </c>
      <c r="E28" s="13" t="s">
        <v>15</v>
      </c>
      <c r="F28" s="13" t="s">
        <v>236</v>
      </c>
      <c r="G28" s="13" t="s">
        <v>8</v>
      </c>
      <c r="H28" s="13" t="s">
        <v>8</v>
      </c>
    </row>
    <row r="29" spans="1:8" x14ac:dyDescent="0.3">
      <c r="A29">
        <v>1</v>
      </c>
      <c r="B29" s="5" t="s">
        <v>209</v>
      </c>
      <c r="C29" s="6" t="s">
        <v>210</v>
      </c>
      <c r="D29" t="s">
        <v>113</v>
      </c>
      <c r="E29" t="s">
        <v>114</v>
      </c>
      <c r="F29" t="s">
        <v>115</v>
      </c>
      <c r="G29" t="s">
        <v>8</v>
      </c>
      <c r="H29" t="s">
        <v>8</v>
      </c>
    </row>
    <row r="30" spans="1:8" x14ac:dyDescent="0.3">
      <c r="A30">
        <v>3</v>
      </c>
      <c r="B30" t="s">
        <v>208</v>
      </c>
      <c r="C30" t="s">
        <v>207</v>
      </c>
      <c r="D30" t="s">
        <v>110</v>
      </c>
      <c r="E30" t="s">
        <v>111</v>
      </c>
      <c r="F30" t="s">
        <v>112</v>
      </c>
      <c r="G30" t="s">
        <v>8</v>
      </c>
      <c r="H30" t="s">
        <v>8</v>
      </c>
    </row>
    <row r="31" spans="1:8" x14ac:dyDescent="0.3">
      <c r="A31">
        <v>1</v>
      </c>
      <c r="B31" t="s">
        <v>98</v>
      </c>
      <c r="C31" t="s">
        <v>98</v>
      </c>
      <c r="D31" t="s">
        <v>99</v>
      </c>
      <c r="E31" t="s">
        <v>100</v>
      </c>
      <c r="F31" t="s">
        <v>101</v>
      </c>
      <c r="G31" t="s">
        <v>8</v>
      </c>
      <c r="H31" t="s">
        <v>8</v>
      </c>
    </row>
    <row r="32" spans="1:8" x14ac:dyDescent="0.3">
      <c r="A32">
        <v>1</v>
      </c>
      <c r="B32" t="s">
        <v>127</v>
      </c>
      <c r="C32" t="s">
        <v>127</v>
      </c>
      <c r="D32" t="s">
        <v>128</v>
      </c>
      <c r="E32" t="s">
        <v>129</v>
      </c>
      <c r="F32" t="s">
        <v>130</v>
      </c>
      <c r="G32" t="s">
        <v>8</v>
      </c>
      <c r="H32" t="s">
        <v>8</v>
      </c>
    </row>
    <row r="33" spans="1:8" x14ac:dyDescent="0.3">
      <c r="A33">
        <v>1</v>
      </c>
      <c r="B33" s="5" t="s">
        <v>212</v>
      </c>
      <c r="C33" s="5" t="s">
        <v>212</v>
      </c>
      <c r="D33" t="s">
        <v>148</v>
      </c>
      <c r="E33" t="s">
        <v>149</v>
      </c>
      <c r="F33" t="s">
        <v>150</v>
      </c>
      <c r="G33" t="s">
        <v>8</v>
      </c>
      <c r="H33" t="s">
        <v>8</v>
      </c>
    </row>
    <row r="34" spans="1:8" x14ac:dyDescent="0.3">
      <c r="A34">
        <v>4</v>
      </c>
      <c r="B34" t="s">
        <v>13</v>
      </c>
      <c r="C34" s="7" t="s">
        <v>213</v>
      </c>
      <c r="D34" t="s">
        <v>12</v>
      </c>
      <c r="E34" t="s">
        <v>214</v>
      </c>
      <c r="F34" t="s">
        <v>13</v>
      </c>
      <c r="G34" t="s">
        <v>8</v>
      </c>
      <c r="H34" t="s">
        <v>8</v>
      </c>
    </row>
    <row r="35" spans="1:8" s="12" customFormat="1" x14ac:dyDescent="0.3">
      <c r="A35" s="12">
        <v>2</v>
      </c>
      <c r="B35" s="12" t="s">
        <v>215</v>
      </c>
      <c r="C35" s="12" t="s">
        <v>216</v>
      </c>
      <c r="D35" s="12" t="s">
        <v>216</v>
      </c>
      <c r="E35" s="12" t="s">
        <v>237</v>
      </c>
      <c r="F35" s="12" t="s">
        <v>123</v>
      </c>
      <c r="G35" s="12" t="s">
        <v>8</v>
      </c>
      <c r="H35" s="12" t="s">
        <v>8</v>
      </c>
    </row>
    <row r="36" spans="1:8" x14ac:dyDescent="0.3">
      <c r="A36">
        <v>1</v>
      </c>
      <c r="B36" t="s">
        <v>184</v>
      </c>
      <c r="C36" t="s">
        <v>184</v>
      </c>
      <c r="D36" t="s">
        <v>185</v>
      </c>
      <c r="E36" t="s">
        <v>186</v>
      </c>
      <c r="F36" t="s">
        <v>187</v>
      </c>
      <c r="G36" t="s">
        <v>8</v>
      </c>
      <c r="H36" t="s">
        <v>8</v>
      </c>
    </row>
    <row r="37" spans="1:8" x14ac:dyDescent="0.3">
      <c r="A37">
        <v>2</v>
      </c>
      <c r="B37" t="s">
        <v>159</v>
      </c>
      <c r="C37" t="s">
        <v>159</v>
      </c>
      <c r="D37" t="s">
        <v>160</v>
      </c>
      <c r="E37" t="s">
        <v>161</v>
      </c>
      <c r="F37" t="s">
        <v>162</v>
      </c>
      <c r="G37" t="s">
        <v>8</v>
      </c>
      <c r="H37" t="s">
        <v>8</v>
      </c>
    </row>
    <row r="38" spans="1:8" x14ac:dyDescent="0.3">
      <c r="A38">
        <v>2</v>
      </c>
      <c r="B38" t="s">
        <v>155</v>
      </c>
      <c r="C38" t="s">
        <v>155</v>
      </c>
      <c r="D38" t="s">
        <v>156</v>
      </c>
      <c r="E38" t="s">
        <v>157</v>
      </c>
      <c r="F38" t="s">
        <v>158</v>
      </c>
      <c r="G38" t="s">
        <v>8</v>
      </c>
      <c r="H38" t="s">
        <v>8</v>
      </c>
    </row>
    <row r="39" spans="1:8" x14ac:dyDescent="0.3">
      <c r="A39">
        <v>1</v>
      </c>
      <c r="B39" t="s">
        <v>163</v>
      </c>
      <c r="C39" t="s">
        <v>163</v>
      </c>
      <c r="D39" t="s">
        <v>164</v>
      </c>
      <c r="E39" t="s">
        <v>165</v>
      </c>
      <c r="F39" t="s">
        <v>166</v>
      </c>
      <c r="G39" t="s">
        <v>8</v>
      </c>
      <c r="H39" t="s">
        <v>8</v>
      </c>
    </row>
    <row r="40" spans="1:8" x14ac:dyDescent="0.3">
      <c r="A40">
        <v>1</v>
      </c>
      <c r="B40" t="s">
        <v>41</v>
      </c>
      <c r="C40" t="s">
        <v>235</v>
      </c>
      <c r="D40" t="s">
        <v>31</v>
      </c>
      <c r="E40" t="s">
        <v>42</v>
      </c>
      <c r="F40" t="s">
        <v>24</v>
      </c>
      <c r="G40" t="s">
        <v>8</v>
      </c>
      <c r="H40" t="s">
        <v>8</v>
      </c>
    </row>
    <row r="41" spans="1:8" x14ac:dyDescent="0.3">
      <c r="A41">
        <v>1</v>
      </c>
      <c r="B41" t="s">
        <v>20</v>
      </c>
      <c r="C41" s="9" t="s">
        <v>218</v>
      </c>
      <c r="D41" t="s">
        <v>22</v>
      </c>
      <c r="E41" t="s">
        <v>23</v>
      </c>
      <c r="F41" t="s">
        <v>24</v>
      </c>
      <c r="G41" t="s">
        <v>8</v>
      </c>
      <c r="H41" t="s">
        <v>8</v>
      </c>
    </row>
    <row r="42" spans="1:8" x14ac:dyDescent="0.3">
      <c r="A42">
        <v>4</v>
      </c>
      <c r="B42" t="s">
        <v>65</v>
      </c>
      <c r="C42" s="10" t="s">
        <v>219</v>
      </c>
      <c r="D42" t="s">
        <v>22</v>
      </c>
      <c r="E42" t="s">
        <v>66</v>
      </c>
      <c r="F42" t="s">
        <v>24</v>
      </c>
      <c r="G42" t="s">
        <v>8</v>
      </c>
      <c r="H42" t="s">
        <v>8</v>
      </c>
    </row>
    <row r="43" spans="1:8" x14ac:dyDescent="0.3">
      <c r="A43">
        <v>4</v>
      </c>
      <c r="B43" t="s">
        <v>43</v>
      </c>
      <c r="C43" s="9" t="s">
        <v>220</v>
      </c>
      <c r="D43" t="s">
        <v>22</v>
      </c>
      <c r="E43" t="s">
        <v>44</v>
      </c>
      <c r="F43" t="s">
        <v>24</v>
      </c>
      <c r="G43" t="s">
        <v>8</v>
      </c>
      <c r="H43" t="s">
        <v>8</v>
      </c>
    </row>
    <row r="44" spans="1:8" x14ac:dyDescent="0.3">
      <c r="A44">
        <v>2</v>
      </c>
      <c r="B44" t="s">
        <v>34</v>
      </c>
      <c r="C44" s="10" t="s">
        <v>221</v>
      </c>
      <c r="D44" t="s">
        <v>22</v>
      </c>
      <c r="E44" t="s">
        <v>35</v>
      </c>
      <c r="F44" t="s">
        <v>24</v>
      </c>
      <c r="G44" t="s">
        <v>8</v>
      </c>
      <c r="H44" t="s">
        <v>8</v>
      </c>
    </row>
    <row r="45" spans="1:8" x14ac:dyDescent="0.3">
      <c r="A45">
        <v>2</v>
      </c>
      <c r="B45" t="s">
        <v>39</v>
      </c>
      <c r="C45" s="9" t="s">
        <v>222</v>
      </c>
      <c r="D45" t="s">
        <v>22</v>
      </c>
      <c r="E45" t="s">
        <v>40</v>
      </c>
      <c r="F45" t="s">
        <v>24</v>
      </c>
      <c r="G45" t="s">
        <v>8</v>
      </c>
      <c r="H45" t="s">
        <v>8</v>
      </c>
    </row>
    <row r="46" spans="1:8" x14ac:dyDescent="0.3">
      <c r="A46">
        <v>1</v>
      </c>
      <c r="B46" t="s">
        <v>57</v>
      </c>
      <c r="C46" s="11" t="s">
        <v>223</v>
      </c>
      <c r="D46" t="s">
        <v>22</v>
      </c>
      <c r="E46" t="s">
        <v>58</v>
      </c>
      <c r="F46" t="s">
        <v>24</v>
      </c>
      <c r="G46" t="s">
        <v>8</v>
      </c>
      <c r="H46" t="s">
        <v>8</v>
      </c>
    </row>
    <row r="47" spans="1:8" x14ac:dyDescent="0.3">
      <c r="A47">
        <v>1</v>
      </c>
      <c r="B47" t="s">
        <v>72</v>
      </c>
      <c r="C47" s="9" t="s">
        <v>224</v>
      </c>
      <c r="D47" t="s">
        <v>31</v>
      </c>
      <c r="E47" t="s">
        <v>73</v>
      </c>
      <c r="F47" t="s">
        <v>24</v>
      </c>
      <c r="G47" t="s">
        <v>8</v>
      </c>
      <c r="H47" t="s">
        <v>8</v>
      </c>
    </row>
    <row r="48" spans="1:8" x14ac:dyDescent="0.3">
      <c r="A48">
        <v>5</v>
      </c>
      <c r="B48" t="s">
        <v>62</v>
      </c>
      <c r="C48" s="2" t="s">
        <v>225</v>
      </c>
      <c r="D48" t="s">
        <v>63</v>
      </c>
      <c r="E48" t="s">
        <v>64</v>
      </c>
      <c r="F48" t="s">
        <v>24</v>
      </c>
      <c r="G48" t="s">
        <v>8</v>
      </c>
      <c r="H48" t="s">
        <v>8</v>
      </c>
    </row>
    <row r="49" spans="1:8" x14ac:dyDescent="0.3">
      <c r="A49">
        <v>2</v>
      </c>
      <c r="B49" t="s">
        <v>41</v>
      </c>
      <c r="C49" s="8" t="s">
        <v>217</v>
      </c>
      <c r="D49" t="s">
        <v>22</v>
      </c>
      <c r="E49" t="s">
        <v>232</v>
      </c>
      <c r="F49" t="s">
        <v>24</v>
      </c>
      <c r="G49" t="s">
        <v>8</v>
      </c>
      <c r="H49" t="s">
        <v>8</v>
      </c>
    </row>
    <row r="50" spans="1:8" x14ac:dyDescent="0.3">
      <c r="A50">
        <v>1</v>
      </c>
      <c r="B50" t="s">
        <v>29</v>
      </c>
      <c r="C50" t="s">
        <v>30</v>
      </c>
      <c r="D50" t="s">
        <v>31</v>
      </c>
      <c r="E50" t="s">
        <v>32</v>
      </c>
      <c r="F50" t="s">
        <v>33</v>
      </c>
      <c r="G50" t="s">
        <v>8</v>
      </c>
      <c r="H50" t="s">
        <v>8</v>
      </c>
    </row>
    <row r="51" spans="1:8" x14ac:dyDescent="0.3">
      <c r="A51">
        <v>1</v>
      </c>
      <c r="B51" t="s">
        <v>36</v>
      </c>
      <c r="C51" s="9" t="s">
        <v>226</v>
      </c>
      <c r="D51" t="s">
        <v>22</v>
      </c>
      <c r="E51" t="s">
        <v>37</v>
      </c>
      <c r="F51" t="s">
        <v>24</v>
      </c>
      <c r="G51" t="s">
        <v>8</v>
      </c>
      <c r="H51" t="s">
        <v>8</v>
      </c>
    </row>
    <row r="52" spans="1:8" x14ac:dyDescent="0.3">
      <c r="A52">
        <v>1</v>
      </c>
      <c r="B52" t="s">
        <v>74</v>
      </c>
      <c r="C52" s="11" t="s">
        <v>227</v>
      </c>
      <c r="D52" t="s">
        <v>22</v>
      </c>
      <c r="E52" t="s">
        <v>75</v>
      </c>
      <c r="F52" t="s">
        <v>24</v>
      </c>
      <c r="G52" t="s">
        <v>8</v>
      </c>
      <c r="H52" t="s">
        <v>8</v>
      </c>
    </row>
    <row r="53" spans="1:8" x14ac:dyDescent="0.3">
      <c r="A53">
        <v>1</v>
      </c>
      <c r="B53" t="s">
        <v>55</v>
      </c>
      <c r="C53" s="9" t="s">
        <v>228</v>
      </c>
      <c r="D53" t="s">
        <v>22</v>
      </c>
      <c r="E53" t="s">
        <v>56</v>
      </c>
      <c r="F53" t="s">
        <v>24</v>
      </c>
      <c r="G53" t="s">
        <v>8</v>
      </c>
      <c r="H53" t="s">
        <v>8</v>
      </c>
    </row>
    <row r="54" spans="1:8" x14ac:dyDescent="0.3">
      <c r="A54">
        <v>2</v>
      </c>
      <c r="B54" t="s">
        <v>62</v>
      </c>
      <c r="C54" t="s">
        <v>21</v>
      </c>
      <c r="D54" t="s">
        <v>22</v>
      </c>
      <c r="E54" t="s">
        <v>233</v>
      </c>
      <c r="F54" t="s">
        <v>24</v>
      </c>
      <c r="G54" t="s">
        <v>8</v>
      </c>
      <c r="H54" t="s">
        <v>8</v>
      </c>
    </row>
    <row r="55" spans="1:8" x14ac:dyDescent="0.3">
      <c r="A55">
        <v>1</v>
      </c>
      <c r="B55" t="s">
        <v>67</v>
      </c>
      <c r="C55" t="s">
        <v>67</v>
      </c>
      <c r="D55" t="s">
        <v>68</v>
      </c>
      <c r="E55" t="s">
        <v>69</v>
      </c>
      <c r="F55" t="s">
        <v>8</v>
      </c>
      <c r="G55" t="s">
        <v>8</v>
      </c>
      <c r="H55" t="s">
        <v>8</v>
      </c>
    </row>
    <row r="56" spans="1:8" x14ac:dyDescent="0.3">
      <c r="A56">
        <v>1</v>
      </c>
      <c r="B56" t="s">
        <v>70</v>
      </c>
      <c r="C56" t="s">
        <v>70</v>
      </c>
      <c r="D56" t="s">
        <v>68</v>
      </c>
      <c r="E56" t="s">
        <v>71</v>
      </c>
      <c r="F56" t="s">
        <v>8</v>
      </c>
      <c r="G56" t="s">
        <v>8</v>
      </c>
      <c r="H56" t="s">
        <v>8</v>
      </c>
    </row>
    <row r="57" spans="1:8" x14ac:dyDescent="0.3">
      <c r="A57">
        <v>1</v>
      </c>
      <c r="B57" t="s">
        <v>90</v>
      </c>
      <c r="C57" t="s">
        <v>90</v>
      </c>
      <c r="D57" t="s">
        <v>91</v>
      </c>
      <c r="E57" t="s">
        <v>92</v>
      </c>
      <c r="F57" t="s">
        <v>93</v>
      </c>
      <c r="G57" t="s">
        <v>8</v>
      </c>
      <c r="H57" t="s">
        <v>8</v>
      </c>
    </row>
    <row r="58" spans="1:8" x14ac:dyDescent="0.3">
      <c r="A58">
        <v>1</v>
      </c>
      <c r="B58" t="s">
        <v>86</v>
      </c>
      <c r="C58" t="s">
        <v>86</v>
      </c>
      <c r="D58" t="s">
        <v>87</v>
      </c>
      <c r="E58" t="s">
        <v>88</v>
      </c>
      <c r="F58" t="s">
        <v>89</v>
      </c>
      <c r="G58" t="s">
        <v>8</v>
      </c>
      <c r="H58" t="s">
        <v>8</v>
      </c>
    </row>
    <row r="59" spans="1:8" x14ac:dyDescent="0.3">
      <c r="A59">
        <v>1</v>
      </c>
      <c r="B59" t="s">
        <v>229</v>
      </c>
      <c r="C59" t="s">
        <v>229</v>
      </c>
      <c r="D59" t="s">
        <v>182</v>
      </c>
      <c r="E59" t="s">
        <v>183</v>
      </c>
      <c r="F59" t="s">
        <v>8</v>
      </c>
      <c r="G59" t="s">
        <v>8</v>
      </c>
      <c r="H59" t="s">
        <v>8</v>
      </c>
    </row>
    <row r="60" spans="1:8" x14ac:dyDescent="0.3">
      <c r="A60">
        <v>1</v>
      </c>
      <c r="B60" t="s">
        <v>230</v>
      </c>
      <c r="C60" t="s">
        <v>230</v>
      </c>
      <c r="D60" t="s">
        <v>59</v>
      </c>
      <c r="E60" t="s">
        <v>60</v>
      </c>
      <c r="F60" t="s">
        <v>61</v>
      </c>
      <c r="G60" t="s">
        <v>8</v>
      </c>
      <c r="H60" t="s">
        <v>8</v>
      </c>
    </row>
    <row r="61" spans="1:8" x14ac:dyDescent="0.3">
      <c r="A61">
        <v>1</v>
      </c>
      <c r="B61" t="s">
        <v>135</v>
      </c>
      <c r="C61" t="s">
        <v>135</v>
      </c>
      <c r="D61" t="s">
        <v>136</v>
      </c>
      <c r="E61" t="s">
        <v>137</v>
      </c>
      <c r="F61" t="s">
        <v>8</v>
      </c>
      <c r="G61" t="s">
        <v>8</v>
      </c>
      <c r="H61" t="s">
        <v>8</v>
      </c>
    </row>
    <row r="62" spans="1:8" x14ac:dyDescent="0.3">
      <c r="A62">
        <v>1</v>
      </c>
      <c r="B62" t="s">
        <v>231</v>
      </c>
      <c r="C62" t="s">
        <v>231</v>
      </c>
      <c r="D62" t="s">
        <v>175</v>
      </c>
      <c r="E62" t="s">
        <v>176</v>
      </c>
      <c r="F62" t="s">
        <v>8</v>
      </c>
      <c r="G62" t="s">
        <v>8</v>
      </c>
      <c r="H62" t="s">
        <v>8</v>
      </c>
    </row>
    <row r="63" spans="1:8" x14ac:dyDescent="0.3">
      <c r="A63">
        <v>1</v>
      </c>
      <c r="B63" t="s">
        <v>138</v>
      </c>
      <c r="C63" t="s">
        <v>138</v>
      </c>
      <c r="D63" t="s">
        <v>139</v>
      </c>
      <c r="E63" t="s">
        <v>140</v>
      </c>
      <c r="F63" t="s">
        <v>8</v>
      </c>
      <c r="G63" t="s">
        <v>8</v>
      </c>
      <c r="H63" t="s">
        <v>8</v>
      </c>
    </row>
    <row r="64" spans="1:8" x14ac:dyDescent="0.3">
      <c r="A64">
        <f>SUBTOTAL(109,NeuroStimDuino_v3[Qty])</f>
        <v>114</v>
      </c>
      <c r="H64">
        <f>SUBTOTAL(103,NeuroStimDuino_v3[_1])</f>
        <v>62</v>
      </c>
    </row>
  </sheetData>
  <hyperlinks>
    <hyperlink ref="C29" r:id="rId1" xr:uid="{AB91B31B-410D-4C12-BCB8-D9FF4AD13952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E2461-FFD0-4857-9B98-A346F938BA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NeuroStimDuino_v3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Bhagat</dc:creator>
  <cp:lastModifiedBy>Nikunj Bhagat</cp:lastModifiedBy>
  <dcterms:created xsi:type="dcterms:W3CDTF">2025-03-18T04:20:29Z</dcterms:created>
  <dcterms:modified xsi:type="dcterms:W3CDTF">2026-03-12T02:05:10Z</dcterms:modified>
</cp:coreProperties>
</file>